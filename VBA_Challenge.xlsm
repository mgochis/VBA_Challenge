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gochis/Documents/Data Bootcamp/Module 2 - VBA/"/>
    </mc:Choice>
  </mc:AlternateContent>
  <xr:revisionPtr revIDLastSave="0" documentId="13_ncr:1_{7F614832-AA22-764E-8BD1-E890141E3C75}" xr6:coauthVersionLast="47" xr6:coauthVersionMax="47" xr10:uidLastSave="{00000000-0000-0000-0000-000000000000}"/>
  <bookViews>
    <workbookView xWindow="0" yWindow="500" windowWidth="35840" windowHeight="219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7" i="4" l="1"/>
  <c r="B46" i="4"/>
  <c r="B45" i="4"/>
  <c r="B44" i="4"/>
  <c r="B43" i="4"/>
  <c r="B42" i="4"/>
  <c r="B41" i="4"/>
  <c r="B40" i="4"/>
  <c r="B39" i="4"/>
  <c r="B38" i="4"/>
  <c r="B37" i="4"/>
  <c r="B36" i="4"/>
  <c r="C47" i="4"/>
  <c r="C46" i="4"/>
  <c r="C45" i="4"/>
  <c r="C44" i="4"/>
  <c r="C43" i="4"/>
  <c r="C42" i="4"/>
  <c r="C41" i="4"/>
  <c r="C40" i="4"/>
  <c r="C39" i="4"/>
  <c r="C38" i="4"/>
  <c r="C37" i="4"/>
  <c r="C36" i="4"/>
  <c r="K6" i="4"/>
  <c r="K7" i="4"/>
</calcChain>
</file>

<file path=xl/sharedStrings.xml><?xml version="1.0" encoding="utf-8"?>
<sst xmlns="http://schemas.openxmlformats.org/spreadsheetml/2006/main" count="12119" uniqueCount="534">
  <si>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</si>
  <si>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</si>
  <si>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</si>
  <si>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</si>
  <si>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</si>
  <si>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</si>
  <si>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</si>
  <si>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</si>
  <si>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</si>
  <si>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</si>
  <si>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</si>
  <si>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</si>
  <si>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</si>
  <si>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</si>
  <si>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</si>
  <si>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</si>
  <si>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</si>
  <si>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</si>
  <si>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</si>
  <si>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</si>
  <si>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</si>
  <si>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</si>
  <si>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</si>
  <si>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</si>
  <si>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</si>
  <si>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</si>
  <si>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</si>
  <si>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</si>
  <si>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</si>
  <si>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</si>
  <si>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</si>
  <si>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</si>
  <si>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</si>
  <si>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</si>
  <si>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</si>
  <si>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</si>
  <si>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</si>
  <si>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</si>
  <si>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</si>
  <si>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</si>
  <si>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</si>
  <si>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</si>
  <si>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</si>
  <si>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</si>
  <si>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</si>
  <si>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</si>
  <si>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</si>
  <si>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</si>
  <si>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</si>
  <si>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</si>
  <si>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</si>
  <si>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</si>
  <si>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</si>
  <si>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</si>
  <si>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</si>
  <si>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</si>
  <si>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</si>
  <si>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</si>
  <si>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</si>
  <si>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</si>
  <si>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</si>
  <si>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</si>
  <si>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</si>
  <si>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</si>
  <si>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</si>
  <si>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</si>
  <si>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</si>
  <si>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</si>
  <si>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</si>
  <si>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</si>
  <si>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</si>
  <si>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</si>
  <si>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</si>
  <si>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</si>
  <si>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</si>
  <si>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</si>
  <si>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</si>
  <si>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</si>
  <si>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</si>
  <si>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</si>
  <si>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</si>
  <si>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</si>
  <si>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</si>
  <si>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</si>
  <si>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</si>
  <si>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</si>
  <si>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</si>
  <si>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</si>
  <si>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</si>
  <si>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</si>
  <si>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</si>
  <si>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</si>
  <si>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</si>
  <si>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</si>
  <si>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</si>
  <si>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</si>
  <si>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</si>
  <si>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</si>
  <si>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</si>
  <si>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</si>
  <si>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</si>
  <si>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</si>
  <si>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</si>
  <si>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</si>
  <si>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</si>
  <si>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</si>
  <si>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</si>
  <si>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</si>
  <si>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</si>
  <si>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</si>
  <si>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</si>
  <si>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</si>
  <si>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</si>
  <si>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</si>
  <si>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</si>
  <si>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</si>
  <si>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</si>
  <si>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</si>
  <si>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</si>
  <si>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</si>
  <si>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</si>
  <si>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</si>
  <si>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</si>
  <si>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</si>
  <si>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</si>
  <si>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</si>
  <si>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</si>
  <si>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</si>
  <si>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</si>
  <si>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</si>
  <si>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</si>
  <si>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</si>
  <si>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</si>
  <si>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</si>
  <si>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</si>
  <si>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</si>
  <si>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</si>
  <si>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</si>
  <si>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</si>
  <si>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</si>
  <si>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</si>
  <si>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</si>
  <si>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</si>
  <si>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</si>
  <si>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</si>
  <si>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</si>
  <si>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</si>
  <si>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</si>
  <si>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</si>
  <si>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</si>
  <si>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</si>
  <si>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</si>
  <si>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</si>
  <si>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</si>
  <si>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</si>
  <si>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</si>
  <si>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</si>
  <si>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</si>
  <si>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</si>
  <si>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</si>
  <si>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</si>
  <si>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</si>
  <si>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</si>
  <si>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</si>
  <si>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</si>
  <si>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</si>
  <si>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</si>
  <si>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</si>
  <si>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</si>
  <si>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</si>
  <si>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</si>
  <si>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</si>
  <si>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</si>
  <si>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</si>
  <si>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</si>
  <si>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</si>
  <si>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</si>
  <si>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</si>
  <si>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</si>
  <si>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</si>
  <si>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</si>
  <si>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</si>
  <si>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</si>
  <si>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</si>
  <si>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</si>
  <si>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</si>
  <si>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</si>
  <si>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</si>
  <si>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</si>
  <si>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</si>
  <si>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</si>
  <si>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</si>
  <si>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</si>
  <si>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</si>
  <si>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</si>
  <si>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</si>
  <si>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</si>
  <si>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</si>
  <si>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</si>
  <si>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</si>
  <si>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</si>
  <si>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</si>
  <si>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</si>
  <si>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</si>
  <si>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</si>
  <si>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</si>
  <si>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</si>
  <si>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</si>
  <si>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</si>
  <si>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</si>
  <si>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</si>
  <si>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</si>
  <si>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</si>
  <si>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</si>
  <si>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</si>
  <si>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</si>
  <si>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</si>
  <si>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</si>
  <si>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</si>
  <si>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</si>
  <si>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</si>
  <si>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</si>
  <si>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</si>
  <si>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</si>
  <si>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</si>
  <si>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</si>
  <si>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</si>
  <si>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</si>
  <si>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</si>
  <si>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</si>
  <si>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</si>
  <si>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</si>
  <si>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</si>
  <si>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</si>
  <si>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</si>
  <si>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</si>
  <si>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</si>
  <si>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</si>
  <si>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</si>
  <si>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</si>
  <si>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</si>
  <si>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</si>
  <si>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</si>
  <si>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</si>
  <si>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</si>
  <si>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</si>
  <si>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</si>
  <si>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</si>
  <si>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</si>
  <si>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</si>
  <si>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</si>
  <si>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</si>
  <si>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</si>
  <si>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</si>
  <si>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</si>
  <si>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</si>
  <si>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</si>
  <si>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</si>
  <si>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</si>
  <si>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</si>
  <si>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</si>
  <si>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</si>
  <si>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</si>
  <si>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</si>
  <si>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</si>
  <si>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</si>
  <si>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</si>
  <si>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</si>
  <si>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</si>
  <si>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</si>
  <si>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</si>
  <si>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</si>
  <si>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</si>
  <si>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</si>
  <si>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</si>
  <si>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</si>
  <si>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</si>
  <si>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</si>
  <si>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</si>
  <si>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</si>
  <si>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</si>
  <si>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</si>
  <si>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</si>
  <si>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</si>
  <si>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</si>
  <si>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</si>
  <si>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</si>
  <si>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</si>
  <si>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</si>
  <si>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</si>
  <si>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</si>
  <si>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</si>
  <si>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</si>
  <si>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</si>
  <si>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</si>
  <si>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</si>
  <si>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</si>
  <si>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</si>
  <si>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</si>
  <si>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</si>
  <si>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</si>
  <si>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</si>
  <si>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</si>
  <si>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</si>
  <si>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</si>
  <si>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</si>
  <si>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</si>
  <si>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</si>
  <si>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</si>
  <si>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</si>
  <si>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</si>
  <si>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</si>
  <si>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</si>
  <si>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</si>
  <si>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</si>
  <si>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</si>
  <si>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</si>
  <si>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</si>
  <si>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</si>
  <si>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</si>
  <si>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</si>
  <si>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</si>
  <si>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</si>
  <si>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</si>
  <si>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</si>
  <si>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</si>
  <si>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</si>
  <si>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</si>
  <si>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</si>
  <si>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</si>
  <si>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</si>
  <si>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</si>
  <si>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</si>
  <si>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</si>
  <si>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</si>
  <si>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</si>
  <si>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</si>
  <si>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</si>
  <si>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</si>
  <si>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</si>
  <si>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</si>
  <si>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</si>
  <si>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</si>
  <si>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</si>
  <si>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</si>
  <si>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</si>
  <si>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</si>
  <si>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</si>
  <si>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</si>
  <si>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</si>
  <si>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</si>
  <si>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</si>
  <si>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</si>
  <si>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</si>
  <si>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</si>
  <si>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</si>
  <si>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</si>
  <si>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</si>
  <si>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</si>
  <si>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</si>
  <si>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</si>
  <si>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</si>
  <si>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</si>
  <si>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</si>
  <si>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</si>
  <si>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</si>
  <si>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</si>
  <si>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</si>
  <si>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</si>
  <si>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</si>
  <si>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</si>
  <si>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</si>
  <si>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</si>
  <si>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</si>
  <si>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</si>
  <si>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</si>
  <si>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</si>
  <si>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</si>
  <si>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</si>
  <si>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</si>
  <si>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</si>
  <si>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</si>
  <si>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</si>
  <si>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</si>
  <si>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</si>
  <si>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</si>
  <si>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</si>
  <si>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</si>
  <si>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</si>
  <si>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</si>
  <si>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</si>
  <si>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</si>
  <si>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</si>
  <si>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</si>
  <si>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</si>
  <si>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</si>
  <si>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</si>
  <si>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</si>
  <si>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</si>
  <si>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</si>
  <si>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</si>
  <si>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</si>
  <si>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</si>
  <si>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</si>
  <si>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</si>
  <si>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</si>
  <si>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</si>
  <si>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</si>
  <si>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</si>
  <si>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</si>
  <si>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</si>
  <si>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</si>
  <si>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</si>
  <si>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</si>
  <si>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</si>
  <si>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</si>
  <si>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</si>
  <si>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</si>
  <si>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</si>
  <si>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</si>
  <si>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</si>
  <si>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</si>
  <si>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</si>
  <si>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</si>
  <si>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</si>
  <si>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</si>
  <si>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</si>
  <si>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</si>
  <si>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</si>
  <si>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</si>
  <si>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</si>
  <si>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</si>
  <si>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</si>
  <si>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</si>
  <si>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</si>
  <si>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</si>
  <si>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</si>
  <si>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</si>
  <si>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</si>
  <si>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</si>
  <si>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</si>
  <si>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</si>
  <si>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</si>
  <si>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</si>
  <si>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</si>
  <si>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</si>
  <si>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</si>
  <si>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</si>
  <si>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</si>
  <si>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</si>
  <si>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</si>
  <si>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</si>
  <si>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</si>
  <si>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</si>
  <si>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</si>
  <si>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</si>
  <si>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</si>
  <si>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</si>
  <si>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</si>
  <si>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</si>
  <si>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</si>
  <si>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</si>
  <si>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</si>
  <si>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</si>
  <si>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</si>
  <si>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</si>
  <si>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</si>
  <si>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</si>
  <si>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</si>
  <si>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</si>
  <si>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</si>
  <si>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</si>
  <si>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</si>
  <si>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</si>
  <si>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</si>
  <si>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</si>
  <si>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</si>
  <si>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</si>
  <si>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</si>
  <si>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</si>
  <si>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</si>
  <si>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</si>
  <si>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</si>
  <si>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</si>
  <si>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</si>
  <si>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</si>
  <si>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</si>
  <si>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</si>
  <si>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</si>
  <si>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</si>
  <si>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</si>
  <si>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</si>
  <si>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</si>
  <si>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</si>
  <si>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</si>
  <si>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</si>
  <si>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</si>
  <si>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</si>
  <si>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</si>
  <si>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</si>
  <si>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</si>
  <si>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</si>
  <si>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</si>
  <si>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</si>
  <si>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</si>
  <si>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</si>
  <si>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</si>
  <si>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</si>
  <si>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</si>
  <si>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</si>
  <si>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</si>
  <si>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</si>
  <si>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</si>
  <si>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</si>
  <si>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</si>
  <si>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</si>
  <si>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</si>
  <si>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</si>
  <si>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</si>
  <si>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</si>
  <si>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</si>
  <si>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</si>
  <si>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</si>
  <si>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</si>
  <si>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</si>
  <si>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</si>
  <si>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</si>
  <si>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</si>
  <si>
    <t>Original</t>
  </si>
  <si>
    <t>Refactored</t>
  </si>
  <si>
    <t>Improvement</t>
  </si>
  <si>
    <t>All Stocks (2017 and 2018)</t>
  </si>
  <si>
    <t>YoY Volume Growth</t>
  </si>
  <si>
    <t>Total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</si>
</sst>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0" xfId="0" applyFont="1"/>
    <xf numFmtId="16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711200</xdr:colOff>
          <xdr:row>3</xdr:row>
          <xdr:rowOff>12700</xdr:rowOff>
        </xdr:from>
        <xdr:to>
          <xdr:col>6</xdr:col>
          <xdr:colOff>584200</xdr:colOff>
          <xdr:row>5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6</xdr:row>
          <xdr:rowOff>114300</xdr:rowOff>
        </xdr:from>
        <xdr:to>
          <xdr:col>6</xdr:col>
          <xdr:colOff>749300</xdr:colOff>
          <xdr:row>10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53" workbookViewId="0">
      <selection activeCell="F252" sqref="F25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28" workbookViewId="0">
      <selection activeCell="F252" sqref="F25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8D448-AC23-1642-A3FD-652748248BDD}">
  <sheetPr codeName="Sheet3"/>
  <dimension ref="A1:C4"/>
  <sheetViews>
    <sheetView workbookViewId="0"/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CE7BF-941F-5B46-A450-0194B8179CDE}">
  <sheetPr codeName="Sheet4"/>
  <dimension ref="A1:K47"/>
  <sheetViews>
    <sheetView tabSelected="1" workbookViewId="0">
      <selection activeCell="J6" sqref="J6:J7"/>
    </sheetView>
  </sheetViews>
  <sheetFormatPr baseColWidth="10" defaultRowHeight="15" x14ac:dyDescent="0.2"/>
  <cols>
    <col min="2" max="2" width="17" bestFit="1" customWidth="1"/>
  </cols>
  <sheetData>
    <row r="1" spans="1:11" x14ac:dyDescent="0.2">
      <c r="A1" t="s">
        <v>527</v>
      </c>
    </row>
    <row r="3" spans="1:11" x14ac:dyDescent="0.2">
      <c r="A3" s="2" t="s">
        <v>0</v>
      </c>
      <c r="B3" s="2" t="s">
        <v>524</v>
      </c>
      <c r="C3" s="2" t="s">
        <v>525</v>
      </c>
    </row>
    <row r="4" spans="1:11" x14ac:dyDescent="0.2">
      <c r="A4" t="s">
        <v>8</v>
      </c>
      <c r="B4" s="3">
        <v>136070900</v>
      </c>
      <c r="C4" s="5">
        <v>8.9368253946304321E-2</v>
      </c>
    </row>
    <row r="5" spans="1:11" x14ac:dyDescent="0.2">
      <c r="A5" t="s">
        <v>9</v>
      </c>
      <c r="B5" s="3">
        <v>310592800</v>
      </c>
      <c r="C5" s="5">
        <v>0.33070248365402222</v>
      </c>
      <c r="I5" t="s">
        <v>528</v>
      </c>
      <c r="J5" t="s">
        <v>529</v>
      </c>
      <c r="K5" t="s">
        <v>530</v>
      </c>
    </row>
    <row r="6" spans="1:11" x14ac:dyDescent="0.2">
      <c r="A6" t="s">
        <v>10</v>
      </c>
      <c r="B6" s="3">
        <v>35796200</v>
      </c>
      <c r="C6" s="5">
        <v>1.9944583177566528</v>
      </c>
      <c r="H6">
        <v>2017</v>
      </c>
      <c r="I6" s="6">
        <v>0.546875</v>
      </c>
      <c r="J6" s="6">
        <v>0.109375</v>
      </c>
      <c r="K6" s="7">
        <f>I6/J6</f>
        <v>5</v>
      </c>
    </row>
    <row r="7" spans="1:11" x14ac:dyDescent="0.2">
      <c r="A7" t="s">
        <v>11</v>
      </c>
      <c r="B7" s="3">
        <v>221772100</v>
      </c>
      <c r="C7" s="5">
        <v>1.2952382564544678</v>
      </c>
      <c r="H7">
        <v>2018</v>
      </c>
      <c r="I7" s="6">
        <v>0.5234375</v>
      </c>
      <c r="J7" s="6">
        <v>9.375E-2</v>
      </c>
      <c r="K7" s="7">
        <f>I7/J7</f>
        <v>5.583333333333333</v>
      </c>
    </row>
    <row r="8" spans="1:11" x14ac:dyDescent="0.2">
      <c r="A8" t="s">
        <v>12</v>
      </c>
      <c r="B8" s="3">
        <v>684181400</v>
      </c>
      <c r="C8" s="5">
        <v>1.0131185054779053</v>
      </c>
    </row>
    <row r="9" spans="1:11" x14ac:dyDescent="0.2">
      <c r="A9" t="s">
        <v>13</v>
      </c>
      <c r="B9" s="3">
        <v>80949300</v>
      </c>
      <c r="C9" s="5">
        <v>0.2583681046962738</v>
      </c>
    </row>
    <row r="10" spans="1:11" x14ac:dyDescent="0.2">
      <c r="A10" t="s">
        <v>14</v>
      </c>
      <c r="B10" s="3">
        <v>191632200</v>
      </c>
      <c r="C10" s="5">
        <v>0.53870755434036255</v>
      </c>
    </row>
    <row r="11" spans="1:11" x14ac:dyDescent="0.2">
      <c r="A11" t="s">
        <v>15</v>
      </c>
      <c r="B11" s="3">
        <v>267681300</v>
      </c>
      <c r="C11" s="5">
        <v>5.5456161499023438E-2</v>
      </c>
    </row>
    <row r="12" spans="1:11" x14ac:dyDescent="0.2">
      <c r="A12" t="s">
        <v>16</v>
      </c>
      <c r="B12" s="3">
        <v>206885200</v>
      </c>
      <c r="C12" s="5">
        <v>1.8446969985961914</v>
      </c>
    </row>
    <row r="13" spans="1:11" x14ac:dyDescent="0.2">
      <c r="A13" t="s">
        <v>17</v>
      </c>
      <c r="B13" s="3">
        <v>782187000</v>
      </c>
      <c r="C13" s="5">
        <v>0.23065699636936188</v>
      </c>
    </row>
    <row r="14" spans="1:11" x14ac:dyDescent="0.2">
      <c r="A14" t="s">
        <v>18</v>
      </c>
      <c r="B14" s="3">
        <v>139402800</v>
      </c>
      <c r="C14" s="4">
        <v>-7.2148971259593964E-2</v>
      </c>
    </row>
    <row r="15" spans="1:11" x14ac:dyDescent="0.2">
      <c r="A15" t="s">
        <v>19</v>
      </c>
      <c r="B15" s="3">
        <v>109487900</v>
      </c>
      <c r="C15" s="5">
        <v>0.50000005960464478</v>
      </c>
    </row>
    <row r="17" spans="1:3" x14ac:dyDescent="0.2">
      <c r="A17" t="s">
        <v>526</v>
      </c>
    </row>
    <row r="19" spans="1:3" x14ac:dyDescent="0.2">
      <c r="A19" s="2" t="s">
        <v>0</v>
      </c>
      <c r="B19" s="2" t="s">
        <v>524</v>
      </c>
      <c r="C19" s="2" t="s">
        <v>525</v>
      </c>
    </row>
    <row r="20" spans="1:3" x14ac:dyDescent="0.2">
      <c r="A20" t="s">
        <v>8</v>
      </c>
      <c r="B20" s="3">
        <v>83079900</v>
      </c>
      <c r="C20" s="4">
        <v>-7.2847634553909302E-2</v>
      </c>
    </row>
    <row r="21" spans="1:3" x14ac:dyDescent="0.2">
      <c r="A21" t="s">
        <v>9</v>
      </c>
      <c r="B21" s="3">
        <v>200879900</v>
      </c>
      <c r="C21" s="4">
        <v>-0.16336052119731903</v>
      </c>
    </row>
    <row r="22" spans="1:3" x14ac:dyDescent="0.2">
      <c r="A22" t="s">
        <v>10</v>
      </c>
      <c r="B22" s="3">
        <v>107873900</v>
      </c>
      <c r="C22" s="4">
        <v>-0.62601888179779053</v>
      </c>
    </row>
    <row r="23" spans="1:3" x14ac:dyDescent="0.2">
      <c r="A23" t="s">
        <v>11</v>
      </c>
      <c r="B23" s="3">
        <v>607473500</v>
      </c>
      <c r="C23" s="5">
        <v>0.81923085451126099</v>
      </c>
    </row>
    <row r="24" spans="1:3" x14ac:dyDescent="0.2">
      <c r="A24" t="s">
        <v>12</v>
      </c>
      <c r="B24" s="3">
        <v>478113900</v>
      </c>
      <c r="C24" s="4">
        <v>-0.39713191986083984</v>
      </c>
    </row>
    <row r="25" spans="1:3" x14ac:dyDescent="0.2">
      <c r="A25" t="s">
        <v>13</v>
      </c>
      <c r="B25" s="3">
        <v>104340600</v>
      </c>
      <c r="C25" s="4">
        <v>-0.20658062398433685</v>
      </c>
    </row>
    <row r="26" spans="1:3" x14ac:dyDescent="0.2">
      <c r="A26" t="s">
        <v>14</v>
      </c>
      <c r="B26" s="3">
        <v>158309000</v>
      </c>
      <c r="C26" s="4">
        <v>-0.6053471565246582</v>
      </c>
    </row>
    <row r="27" spans="1:3" x14ac:dyDescent="0.2">
      <c r="A27" t="s">
        <v>15</v>
      </c>
      <c r="B27" s="3">
        <v>502757100</v>
      </c>
      <c r="C27" s="5">
        <v>0.83952707052230835</v>
      </c>
    </row>
    <row r="28" spans="1:3" x14ac:dyDescent="0.2">
      <c r="A28" t="s">
        <v>16</v>
      </c>
      <c r="B28" s="3">
        <v>237212300</v>
      </c>
      <c r="C28" s="4">
        <v>-7.7529586851596832E-2</v>
      </c>
    </row>
    <row r="29" spans="1:3" x14ac:dyDescent="0.2">
      <c r="A29" t="s">
        <v>17</v>
      </c>
      <c r="B29" s="3">
        <v>538024300</v>
      </c>
      <c r="C29" s="4">
        <v>-0.44593092799186707</v>
      </c>
    </row>
    <row r="30" spans="1:3" x14ac:dyDescent="0.2">
      <c r="A30" t="s">
        <v>18</v>
      </c>
      <c r="B30" s="3">
        <v>151434700</v>
      </c>
      <c r="C30" s="4">
        <v>-4.9957673996686935E-2</v>
      </c>
    </row>
    <row r="31" spans="1:3" x14ac:dyDescent="0.2">
      <c r="A31" t="s">
        <v>19</v>
      </c>
      <c r="B31" s="3">
        <v>136539100</v>
      </c>
      <c r="C31" s="4">
        <v>-3.5443063825368881E-2</v>
      </c>
    </row>
    <row r="33" spans="1:3" x14ac:dyDescent="0.2">
      <c r="A33" t="s">
        <v>531</v>
      </c>
    </row>
    <row r="35" spans="1:3" x14ac:dyDescent="0.2">
      <c r="A35" s="2" t="s">
        <v>0</v>
      </c>
      <c r="B35" s="2" t="s">
        <v>532</v>
      </c>
      <c r="C35" s="2" t="s">
        <v>533</v>
      </c>
    </row>
    <row r="36" spans="1:3" x14ac:dyDescent="0.2">
      <c r="A36" t="s">
        <v>8</v>
      </c>
      <c r="B36" s="8">
        <f>B20/B4</f>
        <v>0.61056331662390706</v>
      </c>
      <c r="C36" s="4">
        <f>C20+C4</f>
        <v>1.652061939239502E-2</v>
      </c>
    </row>
    <row r="37" spans="1:3" x14ac:dyDescent="0.2">
      <c r="A37" t="s">
        <v>9</v>
      </c>
      <c r="B37" s="8">
        <f t="shared" ref="B37:B47" si="0">B21/B5</f>
        <v>0.64676289984829016</v>
      </c>
      <c r="C37" s="4">
        <f t="shared" ref="C37:C47" si="1">C21+C5</f>
        <v>0.16734196245670319</v>
      </c>
    </row>
    <row r="38" spans="1:3" x14ac:dyDescent="0.2">
      <c r="A38" t="s">
        <v>10</v>
      </c>
      <c r="B38" s="8">
        <f t="shared" si="0"/>
        <v>3.0135573049653317</v>
      </c>
      <c r="C38" s="4">
        <f t="shared" si="1"/>
        <v>1.3684394359588623</v>
      </c>
    </row>
    <row r="39" spans="1:3" x14ac:dyDescent="0.2">
      <c r="A39" t="s">
        <v>11</v>
      </c>
      <c r="B39" s="8">
        <f t="shared" si="0"/>
        <v>2.7391790942142857</v>
      </c>
      <c r="C39" s="4">
        <f t="shared" si="1"/>
        <v>2.1144691109657288</v>
      </c>
    </row>
    <row r="40" spans="1:3" x14ac:dyDescent="0.2">
      <c r="A40" t="s">
        <v>12</v>
      </c>
      <c r="B40" s="8">
        <f t="shared" si="0"/>
        <v>0.69881160171849166</v>
      </c>
      <c r="C40" s="4">
        <f t="shared" si="1"/>
        <v>0.61598658561706543</v>
      </c>
    </row>
    <row r="41" spans="1:3" x14ac:dyDescent="0.2">
      <c r="A41" t="s">
        <v>13</v>
      </c>
      <c r="B41" s="8">
        <f t="shared" si="0"/>
        <v>1.288962350508281</v>
      </c>
      <c r="C41" s="4">
        <f t="shared" si="1"/>
        <v>5.1787480711936951E-2</v>
      </c>
    </row>
    <row r="42" spans="1:3" x14ac:dyDescent="0.2">
      <c r="A42" t="s">
        <v>14</v>
      </c>
      <c r="B42" s="8">
        <f t="shared" si="0"/>
        <v>0.82610855586900322</v>
      </c>
      <c r="C42" s="4">
        <f t="shared" si="1"/>
        <v>-6.6639602184295654E-2</v>
      </c>
    </row>
    <row r="43" spans="1:3" x14ac:dyDescent="0.2">
      <c r="A43" t="s">
        <v>15</v>
      </c>
      <c r="B43" s="8">
        <f t="shared" si="0"/>
        <v>1.8781928360329989</v>
      </c>
      <c r="C43" s="4">
        <f t="shared" si="1"/>
        <v>0.89498323202133179</v>
      </c>
    </row>
    <row r="44" spans="1:3" x14ac:dyDescent="0.2">
      <c r="A44" t="s">
        <v>16</v>
      </c>
      <c r="B44" s="8">
        <f t="shared" si="0"/>
        <v>1.1465890261845699</v>
      </c>
      <c r="C44" s="4">
        <f t="shared" si="1"/>
        <v>1.7671674117445946</v>
      </c>
    </row>
    <row r="45" spans="1:3" x14ac:dyDescent="0.2">
      <c r="A45" t="s">
        <v>17</v>
      </c>
      <c r="B45" s="8">
        <f t="shared" si="0"/>
        <v>0.68784612886688223</v>
      </c>
      <c r="C45" s="4">
        <f t="shared" si="1"/>
        <v>-0.21527393162250519</v>
      </c>
    </row>
    <row r="46" spans="1:3" x14ac:dyDescent="0.2">
      <c r="A46" t="s">
        <v>18</v>
      </c>
      <c r="B46" s="8">
        <f t="shared" si="0"/>
        <v>1.0863103180136984</v>
      </c>
      <c r="C46" s="4">
        <f t="shared" si="1"/>
        <v>-0.1221066452562809</v>
      </c>
    </row>
    <row r="47" spans="1:3" x14ac:dyDescent="0.2">
      <c r="A47" t="s">
        <v>19</v>
      </c>
      <c r="B47" s="8">
        <f t="shared" si="0"/>
        <v>1.2470702241982905</v>
      </c>
      <c r="C47" s="4">
        <f t="shared" si="1"/>
        <v>0.46455699577927589</v>
      </c>
    </row>
  </sheetData>
  <conditionalFormatting sqref="C36:C4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:B4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yearValueAnalysis">
                <anchor moveWithCells="1" sizeWithCells="1">
                  <from>
                    <xdr:col>4</xdr:col>
                    <xdr:colOff>711200</xdr:colOff>
                    <xdr:row>3</xdr:row>
                    <xdr:rowOff>12700</xdr:rowOff>
                  </from>
                  <to>
                    <xdr:col>6</xdr:col>
                    <xdr:colOff>584200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800100</xdr:colOff>
                    <xdr:row>6</xdr:row>
                    <xdr:rowOff>114300</xdr:rowOff>
                  </from>
                  <to>
                    <xdr:col>6</xdr:col>
                    <xdr:colOff>749300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Gochis</cp:lastModifiedBy>
  <dcterms:created xsi:type="dcterms:W3CDTF">2019-05-02T20:23:55Z</dcterms:created>
  <dcterms:modified xsi:type="dcterms:W3CDTF">2022-04-16T02:44:56Z</dcterms:modified>
</cp:coreProperties>
</file>